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 Statement" state="visible" r:id="rId4"/>
  </sheets>
  <calcPr calcId="171027"/>
</workbook>
</file>

<file path=xl/sharedStrings.xml><?xml version="1.0" encoding="utf-8"?>
<sst xmlns="http://schemas.openxmlformats.org/spreadsheetml/2006/main" count="107" uniqueCount="76">
  <si>
    <t>MINOX HEIGHTS</t>
  </si>
  <si>
    <t>COLLECTION STATEMENT</t>
  </si>
  <si>
    <t>As at 01/06/2026</t>
  </si>
  <si>
    <t>OTHER</t>
  </si>
  <si>
    <t>ENTRANCE</t>
  </si>
  <si>
    <t>TENANT NAME</t>
  </si>
  <si>
    <t>TELEPHONE NUMBER</t>
  </si>
  <si>
    <t>SQUARE FEET</t>
  </si>
  <si>
    <t>LOCATION</t>
  </si>
  <si>
    <t>RATES</t>
  </si>
  <si>
    <t>NATURE OF THE BUSINESS</t>
  </si>
  <si>
    <t>DEPOSIT</t>
  </si>
  <si>
    <t>ELECTRICITY/BCF</t>
  </si>
  <si>
    <t>GROUND RENT PER MONTH</t>
  </si>
  <si>
    <t>WATER BILL</t>
  </si>
  <si>
    <t>VAT</t>
  </si>
  <si>
    <t>SERVICE CHARGE</t>
  </si>
  <si>
    <t>June 2026 Rent</t>
  </si>
  <si>
    <t>AMOUNT PAYABLE</t>
  </si>
  <si>
    <t>AMT PID</t>
  </si>
  <si>
    <t>DATE</t>
  </si>
  <si>
    <t>BALANCE</t>
  </si>
  <si>
    <t>2 b</t>
  </si>
  <si>
    <t>John Doe</t>
  </si>
  <si>
    <t>0722334455</t>
  </si>
  <si>
    <t>100Sq/ft</t>
  </si>
  <si>
    <t>600 PER SQ/FT</t>
  </si>
  <si>
    <t>2 bedroom house with balcony</t>
  </si>
  <si>
    <t/>
  </si>
  <si>
    <t>Ksh 9888.00 (EXCLUSIVE)</t>
  </si>
  <si>
    <t>17/12/2025</t>
  </si>
  <si>
    <t>1 b</t>
  </si>
  <si>
    <t>Mary Muthengi</t>
  </si>
  <si>
    <t>0785633857</t>
  </si>
  <si>
    <t>400Sq/ft</t>
  </si>
  <si>
    <t>88 PER SQ/FT</t>
  </si>
  <si>
    <t>1 bedroom apartment</t>
  </si>
  <si>
    <t>Ksh 5712.00 (EXCLUSIVE)</t>
  </si>
  <si>
    <t>09/04/2026</t>
  </si>
  <si>
    <t>A s</t>
  </si>
  <si>
    <t>njuguna</t>
  </si>
  <si>
    <t>078657087</t>
  </si>
  <si>
    <t>250Sq/ft</t>
  </si>
  <si>
    <t>80 PER SQ/FT</t>
  </si>
  <si>
    <t>A spacious one bedroom house</t>
  </si>
  <si>
    <t>Ksh 2758.62 (INCLUSIVE)</t>
  </si>
  <si>
    <t>Total</t>
  </si>
  <si>
    <t>GRAND TOTAL SUMMARY</t>
  </si>
  <si>
    <t>SUMMARY</t>
  </si>
  <si>
    <t>Deposit</t>
  </si>
  <si>
    <t>Ground Rent</t>
  </si>
  <si>
    <t>Water Bill</t>
  </si>
  <si>
    <t>Service Charge</t>
  </si>
  <si>
    <t>Total Rent</t>
  </si>
  <si>
    <t>Total Payable</t>
  </si>
  <si>
    <t>Total Paid</t>
  </si>
  <si>
    <t>Total Balance</t>
  </si>
  <si>
    <t>All Floors</t>
  </si>
  <si>
    <t>FINANCIAL OVERVIEW</t>
  </si>
  <si>
    <t>Total Expected Collection:</t>
  </si>
  <si>
    <t>Ksh 133,100</t>
  </si>
  <si>
    <t>Total Collected:</t>
  </si>
  <si>
    <t>Ksh 1,242,156</t>
  </si>
  <si>
    <t>Total Outstanding:</t>
  </si>
  <si>
    <t>Ksh -1,109,056</t>
  </si>
  <si>
    <t>Commission Information:</t>
  </si>
  <si>
    <t>Total Commissions:</t>
  </si>
  <si>
    <t>Ksh 78,009.659</t>
  </si>
  <si>
    <t>Pending Commissions:</t>
  </si>
  <si>
    <t>Ksh 27,500.431</t>
  </si>
  <si>
    <t>Paid Commissions:</t>
  </si>
  <si>
    <t>Ksh 18,519.894</t>
  </si>
  <si>
    <t>NOTES:</t>
  </si>
  <si>
    <t>VAT Types: INCLUSIVE (VAT included in rent), EXCLUSIVE (VAT added on top), NOT_APPLICABLE (No VAT)</t>
  </si>
  <si>
    <t>_______________________________________________________________</t>
  </si>
  <si>
    <t>INTERPARK ENTERPRISES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</si>
</sst>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Ksh &quot;#,##0.00"/>
  </numFmts>
  <fonts count="12" x14ac:knownFonts="1">
    <font>
      <color theme="1"/>
      <family val="2"/>
      <scheme val="minor"/>
      <sz val="11"/>
      <name val="Calibri"/>
    </font>
    <font>
      <b/>
      <color rgb="FF000000"/>
      <sz val="18"/>
    </font>
    <font>
      <b/>
      <color rgb="FF000000"/>
      <sz val="16"/>
    </font>
    <font>
      <i/>
      <sz val="14"/>
    </font>
    <font>
      <b/>
      <color rgb="FF000000"/>
      <sz val="14"/>
    </font>
    <font>
      <b/>
      <color rgb="FFFFFFFF"/>
      <sz val="11"/>
    </font>
    <font>
      <sz val="10"/>
    </font>
    <font>
      <b/>
      <sz val="11"/>
    </font>
    <font>
      <b/>
      <color rgb="FF000000"/>
      <sz val="11"/>
    </font>
    <font>
      <i/>
      <sz val="10"/>
    </font>
    <font>
      <i/>
      <sz val="9"/>
    </font>
    <font>
      <b/>
      <color rgb="FF0066B2"/>
      <sz val="12"/>
    </font>
  </fonts>
  <fills count="6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0066B2"/>
      </patternFill>
    </fill>
    <fill>
      <patternFill patternType="solid">
        <fgColor rgb="FFF9F9F9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164" fontId="6" fillId="4" borderId="3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64" fontId="6" fillId="0" borderId="3" xfId="0" applyNumberFormat="1" applyFont="1" applyBorder="1" applyAlignment="1">
      <alignment horizontal="left" vertical="center" wrapText="1"/>
    </xf>
    <xf numFmtId="0" fontId="7" fillId="5" borderId="1" xfId="0" applyFont="1" applyFill="1" applyBorder="1"/>
    <xf numFmtId="0" fontId="0" fillId="5" borderId="1" xfId="0" applyFill="1" applyBorder="1"/>
    <xf numFmtId="164" fontId="7" fillId="5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12" customWidth="1"/>
    <col min="5" max="5" width="25" customWidth="1"/>
    <col min="6" max="6" width="15" customWidth="1"/>
    <col min="7" max="7" width="20" customWidth="1"/>
    <col min="8" max="9" width="12" customWidth="1"/>
    <col min="10" max="10" width="18" customWidth="1"/>
    <col min="11" max="11" width="12" customWidth="1"/>
    <col min="12" max="12" width="20" customWidth="1"/>
    <col min="13" max="15" width="15" customWidth="1"/>
    <col min="16" max="17" width="12" customWidth="1"/>
    <col min="18" max="18" width="15" customWidth="1"/>
  </cols>
  <sheetData>
    <row r="1" spans="3:18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3:18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3:18" x14ac:dyDescent="0.25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ht="25" customHeight="1" spans="1:18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30" customHeight="1" spans="1:1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</row>
    <row r="7" spans="1:18" x14ac:dyDescent="0.25">
      <c r="A7" s="6" t="s">
        <v>22</v>
      </c>
      <c r="B7" s="6" t="s">
        <v>23</v>
      </c>
      <c r="C7" s="6" t="s">
        <v>24</v>
      </c>
      <c r="D7" s="6" t="s">
        <v>25</v>
      </c>
      <c r="E7" s="6" t="s">
        <v>3</v>
      </c>
      <c r="F7" s="6" t="s">
        <v>26</v>
      </c>
      <c r="G7" s="6" t="s">
        <v>27</v>
      </c>
      <c r="H7" s="6" t="s">
        <v>28</v>
      </c>
      <c r="I7" s="6" t="s">
        <v>28</v>
      </c>
      <c r="J7" s="7">
        <v>60000</v>
      </c>
      <c r="K7" s="6" t="s">
        <v>28</v>
      </c>
      <c r="L7" s="6" t="s">
        <v>29</v>
      </c>
      <c r="M7" s="7">
        <v>1800</v>
      </c>
      <c r="N7" s="7">
        <f>(J7+M7)*(1+0.16)</f>
      </c>
      <c r="O7" s="7">
        <f>(J7+M7)*(1+0.16)</f>
      </c>
      <c r="P7" s="7">
        <v>1117920</v>
      </c>
      <c r="Q7" s="6" t="s">
        <v>30</v>
      </c>
      <c r="R7" s="7">
        <f>O7-P7</f>
      </c>
    </row>
    <row r="8" spans="1:18" x14ac:dyDescent="0.25">
      <c r="A8" s="8" t="s">
        <v>31</v>
      </c>
      <c r="B8" s="8" t="s">
        <v>32</v>
      </c>
      <c r="C8" s="8" t="s">
        <v>33</v>
      </c>
      <c r="D8" s="8" t="s">
        <v>34</v>
      </c>
      <c r="E8" s="8" t="s">
        <v>3</v>
      </c>
      <c r="F8" s="8" t="s">
        <v>35</v>
      </c>
      <c r="G8" s="8" t="s">
        <v>36</v>
      </c>
      <c r="H8" s="8" t="s">
        <v>28</v>
      </c>
      <c r="I8" s="8" t="s">
        <v>28</v>
      </c>
      <c r="J8" s="9">
        <v>35000</v>
      </c>
      <c r="K8" s="8" t="s">
        <v>28</v>
      </c>
      <c r="L8" s="8" t="s">
        <v>37</v>
      </c>
      <c r="M8" s="9">
        <v>700</v>
      </c>
      <c r="N8" s="9">
        <f>(J8+M8)*(1+0.16)</f>
      </c>
      <c r="O8" s="9">
        <f>(J8+M8)*(1+0.16)</f>
      </c>
      <c r="P8" s="9">
        <v>124236</v>
      </c>
      <c r="Q8" s="8" t="s">
        <v>38</v>
      </c>
      <c r="R8" s="9">
        <f>O8-P8</f>
      </c>
    </row>
    <row r="9" spans="1:18" x14ac:dyDescent="0.25">
      <c r="A9" s="6" t="s">
        <v>39</v>
      </c>
      <c r="B9" s="6" t="s">
        <v>40</v>
      </c>
      <c r="C9" s="6" t="s">
        <v>41</v>
      </c>
      <c r="D9" s="6" t="s">
        <v>42</v>
      </c>
      <c r="E9" s="6" t="s">
        <v>3</v>
      </c>
      <c r="F9" s="6" t="s">
        <v>43</v>
      </c>
      <c r="G9" s="6" t="s">
        <v>44</v>
      </c>
      <c r="H9" s="6" t="s">
        <v>28</v>
      </c>
      <c r="I9" s="6" t="s">
        <v>28</v>
      </c>
      <c r="J9" s="7">
        <v>17241.37931034483</v>
      </c>
      <c r="K9" s="6" t="s">
        <v>28</v>
      </c>
      <c r="L9" s="6" t="s">
        <v>45</v>
      </c>
      <c r="M9" s="6">
        <v>0</v>
      </c>
      <c r="N9" s="7">
        <f>J9+M9</f>
      </c>
      <c r="O9" s="7">
        <f>J9+M9</f>
      </c>
      <c r="P9" s="6" t="s">
        <v>28</v>
      </c>
      <c r="Q9" s="6" t="s">
        <v>28</v>
      </c>
      <c r="R9" s="7">
        <f>O9-P9</f>
      </c>
    </row>
    <row r="10" spans="1:18" x14ac:dyDescent="0.25">
      <c r="A10" s="10" t="s">
        <v>46</v>
      </c>
      <c r="B10" s="11"/>
      <c r="C10" s="11"/>
      <c r="D10" s="11"/>
      <c r="E10" s="11"/>
      <c r="F10" s="11"/>
      <c r="G10" s="11"/>
      <c r="H10" s="12">
        <v>0</v>
      </c>
      <c r="I10" s="11"/>
      <c r="J10" s="12">
        <v>112241.37931034483</v>
      </c>
      <c r="K10" s="12">
        <v>0</v>
      </c>
      <c r="L10" s="12">
        <v>18358.62068965517</v>
      </c>
      <c r="M10" s="12">
        <v>2500</v>
      </c>
      <c r="N10" s="12">
        <f>SUM(N7:N9)</f>
        <v>130341.37931034483</v>
      </c>
      <c r="O10" s="12">
        <f>SUM(O7:O9)</f>
        <v>133100</v>
      </c>
      <c r="P10" s="12">
        <f>SUM(P7:P9)</f>
        <v>1242156</v>
      </c>
      <c r="Q10" s="11"/>
      <c r="R10" s="12">
        <f>SUM(R7:R9)</f>
        <v>-1109056</v>
      </c>
    </row>
    <row r="12" ht="25" customHeight="1" spans="1:18" x14ac:dyDescent="0.25">
      <c r="A12" s="4" t="s">
        <v>47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30" customHeight="1" spans="1:18" x14ac:dyDescent="0.25">
      <c r="A13" s="5" t="s">
        <v>48</v>
      </c>
      <c r="B13" s="5" t="s">
        <v>28</v>
      </c>
      <c r="C13" s="5" t="s">
        <v>28</v>
      </c>
      <c r="D13" s="5" t="s">
        <v>28</v>
      </c>
      <c r="E13" s="5" t="s">
        <v>28</v>
      </c>
      <c r="F13" s="5" t="s">
        <v>28</v>
      </c>
      <c r="G13" s="5" t="s">
        <v>28</v>
      </c>
      <c r="H13" s="5" t="s">
        <v>49</v>
      </c>
      <c r="I13" s="5" t="s">
        <v>28</v>
      </c>
      <c r="J13" s="5" t="s">
        <v>50</v>
      </c>
      <c r="K13" s="5" t="s">
        <v>51</v>
      </c>
      <c r="L13" s="5" t="s">
        <v>15</v>
      </c>
      <c r="M13" s="5" t="s">
        <v>52</v>
      </c>
      <c r="N13" s="5" t="s">
        <v>53</v>
      </c>
      <c r="O13" s="5" t="s">
        <v>54</v>
      </c>
      <c r="P13" s="5" t="s">
        <v>55</v>
      </c>
      <c r="Q13" s="5" t="s">
        <v>28</v>
      </c>
      <c r="R13" s="5" t="s">
        <v>56</v>
      </c>
    </row>
    <row r="14" spans="1:18" x14ac:dyDescent="0.25">
      <c r="A14" s="8" t="s">
        <v>57</v>
      </c>
      <c r="B14" s="8" t="s">
        <v>28</v>
      </c>
      <c r="C14" s="8" t="s">
        <v>28</v>
      </c>
      <c r="D14" s="8" t="s">
        <v>28</v>
      </c>
      <c r="E14" s="8" t="s">
        <v>28</v>
      </c>
      <c r="F14" s="8" t="s">
        <v>28</v>
      </c>
      <c r="G14" s="8" t="s">
        <v>28</v>
      </c>
      <c r="H14" s="9">
        <v>0</v>
      </c>
      <c r="I14" s="8" t="s">
        <v>28</v>
      </c>
      <c r="J14" s="9">
        <v>112241.37931034483</v>
      </c>
      <c r="K14" s="9">
        <v>0</v>
      </c>
      <c r="L14" s="9">
        <v>18358.62068965517</v>
      </c>
      <c r="M14" s="9">
        <v>2500</v>
      </c>
      <c r="N14" s="9">
        <v>130341.37931034483</v>
      </c>
      <c r="O14" s="9">
        <v>133100</v>
      </c>
      <c r="P14" s="8">
        <v>1242156</v>
      </c>
      <c r="Q14" s="8" t="s">
        <v>28</v>
      </c>
      <c r="R14" s="9">
        <v>-1109056</v>
      </c>
    </row>
    <row r="17" ht="25" customHeight="1" spans="1:18" x14ac:dyDescent="0.25">
      <c r="A17" s="4" t="s">
        <v>58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13" t="s">
        <v>59</v>
      </c>
      <c r="B18" s="14" t="s">
        <v>60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25">
      <c r="A19" s="13" t="s">
        <v>61</v>
      </c>
      <c r="B19" s="14" t="s">
        <v>62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x14ac:dyDescent="0.25">
      <c r="A20" s="13" t="s">
        <v>63</v>
      </c>
      <c r="B20" s="14" t="s">
        <v>64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" x14ac:dyDescent="0.25">
      <c r="A21" s="13" t="s">
        <v>28</v>
      </c>
    </row>
    <row r="22" spans="1:1" x14ac:dyDescent="0.25">
      <c r="A22" s="13" t="s">
        <v>65</v>
      </c>
    </row>
    <row r="23" spans="1:18" x14ac:dyDescent="0.25">
      <c r="A23" s="13" t="s">
        <v>66</v>
      </c>
      <c r="B23" s="14" t="s">
        <v>67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x14ac:dyDescent="0.25">
      <c r="A24" s="13" t="s">
        <v>68</v>
      </c>
      <c r="B24" s="14" t="s">
        <v>69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x14ac:dyDescent="0.25">
      <c r="A25" s="13" t="s">
        <v>70</v>
      </c>
      <c r="B25" s="14" t="s">
        <v>71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8" spans="1:18" x14ac:dyDescent="0.25">
      <c r="A28" s="15" t="s">
        <v>72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x14ac:dyDescent="0.25">
      <c r="A29" s="16" t="s">
        <v>73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2" spans="1:18" x14ac:dyDescent="0.25">
      <c r="A32" s="17" t="s">
        <v>74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x14ac:dyDescent="0.25">
      <c r="A33" s="18" t="s">
        <v>75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</sheetData>
  <mergeCells count="16">
    <mergeCell ref="C1:R1"/>
    <mergeCell ref="C2:R2"/>
    <mergeCell ref="C3:R3"/>
    <mergeCell ref="A5:R5"/>
    <mergeCell ref="A12:R12"/>
    <mergeCell ref="A17:R17"/>
    <mergeCell ref="B18:R18"/>
    <mergeCell ref="B19:R19"/>
    <mergeCell ref="B20:R20"/>
    <mergeCell ref="B23:R23"/>
    <mergeCell ref="B24:R24"/>
    <mergeCell ref="B25:R25"/>
    <mergeCell ref="A28:R28"/>
    <mergeCell ref="A29:R29"/>
    <mergeCell ref="A32:R32"/>
    <mergeCell ref="A33:R33"/>
  </mergeCells>
  <pageMargins left="0.25" right="0.25" top="0.75" bottom="0.75" header="0" footer="0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Interpark Enterprises Limited</dc:creator>
  <dc:title/>
  <dc:subject/>
  <dc:description/>
  <cp:keywords/>
  <cp:category/>
  <cp:lastModifiedBy>Unknown</cp:lastModifiedBy>
  <dcterms:created xsi:type="dcterms:W3CDTF">2026-06-01T14:21:02Z</dcterms:created>
  <dcterms:modified xsi:type="dcterms:W3CDTF">2026-06-01T14:21:02Z</dcterms:modified>
</cp:coreProperties>
</file>